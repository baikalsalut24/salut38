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" sheetId="1" state="visible" r:id="rId1"/>
    <sheet xmlns:r="http://schemas.openxmlformats.org/officeDocument/2006/relationships" name="Итог" sheetId="2" state="visible" r:id="rId2"/>
  </sheets>
  <definedNames>
    <definedName name="_xlnm._FilterDatabase" localSheetId="0" hidden="1">'Чек-лист'!$A$1:$H$43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11" customWidth="1" min="4" max="4"/>
    <col width="12" customWidth="1" min="5" max="5"/>
    <col width="52" customWidth="1" min="6" max="6"/>
    <col width="13" customWidth="1" min="7" max="7"/>
    <col width="30" customWidth="1" min="8" max="8"/>
  </cols>
  <sheetData>
    <row r="1">
      <c r="A1" s="1" t="inlineStr">
        <is>
          <t>№</t>
        </is>
      </c>
      <c r="B1" s="1" t="inlineStr">
        <is>
          <t>Блок</t>
        </is>
      </c>
      <c r="C1" s="1" t="inlineStr">
        <is>
          <t>Задача</t>
        </is>
      </c>
      <c r="D1" s="1" t="inlineStr">
        <is>
          <t>Кто</t>
        </is>
      </c>
      <c r="E1" s="1" t="inlineStr">
        <is>
          <t>Приоритет</t>
        </is>
      </c>
      <c r="F1" s="1" t="inlineStr">
        <is>
          <t>Как / команда</t>
        </is>
      </c>
      <c r="G1" s="1" t="inlineStr">
        <is>
          <t>Статус</t>
        </is>
      </c>
      <c r="H1" s="1" t="inlineStr">
        <is>
          <t>Заметки</t>
        </is>
      </c>
    </row>
    <row r="2">
      <c r="A2" s="2" t="n">
        <v>1</v>
      </c>
      <c r="B2" s="2" t="inlineStr">
        <is>
          <t>1. Безопасность (пароли и ключи)</t>
        </is>
      </c>
      <c r="C2" s="2" t="inlineStr">
        <is>
          <t>Перевыпустить CLIENT_SECRET у поставщика САЛЮТ-1 (старый светился в переписке) и обновить SALUT_SECRET в /etc/bs.env</t>
        </is>
      </c>
      <c r="D2" s="2" t="inlineStr">
        <is>
          <t>Вы + я</t>
        </is>
      </c>
      <c r="E2" s="2" t="inlineStr">
        <is>
          <t>Высокий</t>
        </is>
      </c>
      <c r="F2" s="2" t="inlineStr">
        <is>
          <t>Старый ключ после замены перестанет работать. После: node sync.js --auth</t>
        </is>
      </c>
      <c r="G2" s="2" t="inlineStr">
        <is>
          <t>Не начато</t>
        </is>
      </c>
      <c r="H2" s="2" t="inlineStr"/>
    </row>
    <row r="3">
      <c r="A3" s="2" t="n">
        <v>2</v>
      </c>
      <c r="B3" s="2" t="inlineStr">
        <is>
          <t>1. Безопасность (пароли и ключи)</t>
        </is>
      </c>
      <c r="C3" s="2" t="inlineStr">
        <is>
          <t>Отозвать старые токены Telegram-ботов в @BotFather (/revoke), создать новые, обновить ALERT_TOKEN</t>
        </is>
      </c>
      <c r="D3" s="2" t="inlineStr">
        <is>
          <t>Вы + я</t>
        </is>
      </c>
      <c r="E3" s="2" t="inlineStr">
        <is>
          <t>Высокий</t>
        </is>
      </c>
      <c r="F3" s="2" t="inlineStr">
        <is>
          <t>Токены показывались в чате</t>
        </is>
      </c>
      <c r="G3" s="2" t="inlineStr">
        <is>
          <t>Не начато</t>
        </is>
      </c>
      <c r="H3" s="2" t="inlineStr"/>
    </row>
    <row r="4">
      <c r="A4" s="2" t="n">
        <v>3</v>
      </c>
      <c r="B4" s="2" t="inlineStr">
        <is>
          <t>1. Безопасность (пароли и ключи)</t>
        </is>
      </c>
      <c r="C4" s="2" t="inlineStr">
        <is>
          <t>Сменить PIN-коды сотрудников в приложении заказов (Владимир, Максим и др.)</t>
        </is>
      </c>
      <c r="D4" s="2" t="inlineStr">
        <is>
          <t>Вы</t>
        </is>
      </c>
      <c r="E4" s="2" t="inlineStr">
        <is>
          <t>Высокий</t>
        </is>
      </c>
      <c r="F4" s="2" t="inlineStr">
        <is>
          <t>Приложение заказов → Команда</t>
        </is>
      </c>
      <c r="G4" s="2" t="inlineStr">
        <is>
          <t>Не начато</t>
        </is>
      </c>
      <c r="H4" s="2" t="inlineStr"/>
    </row>
    <row r="5">
      <c r="A5" s="2" t="n">
        <v>4</v>
      </c>
      <c r="B5" s="2" t="inlineStr">
        <is>
          <t>1. Безопасность (пароли и ключи)</t>
        </is>
      </c>
      <c r="C5" s="2" t="inlineStr">
        <is>
          <t>Сменить пароль root на сервере и перейти на вход по SSH-ключу; отключить вход по паролю</t>
        </is>
      </c>
      <c r="D5" s="2" t="inlineStr">
        <is>
          <t>Вы + я</t>
        </is>
      </c>
      <c r="E5" s="2" t="inlineStr">
        <is>
          <t>Высокий</t>
        </is>
      </c>
      <c r="F5" s="2" t="inlineStr">
        <is>
          <t>Проверить: grep -E "PasswordAuthentication|PermitRootLogin" /etc/ssh/sshd_config</t>
        </is>
      </c>
      <c r="G5" s="2" t="inlineStr">
        <is>
          <t>Не начато</t>
        </is>
      </c>
      <c r="H5" s="2" t="inlineStr"/>
    </row>
    <row r="6">
      <c r="A6" s="2" t="n">
        <v>5</v>
      </c>
      <c r="B6" s="2" t="inlineStr">
        <is>
          <t>1. Безопасность (пароли и ключи)</t>
        </is>
      </c>
      <c r="C6" s="2" t="inlineStr">
        <is>
          <t>Включить файервол: открыты только 22, 80, 443</t>
        </is>
      </c>
      <c r="D6" s="2" t="inlineStr">
        <is>
          <t>Я</t>
        </is>
      </c>
      <c r="E6" s="2" t="inlineStr">
        <is>
          <t>Высокий</t>
        </is>
      </c>
      <c r="F6" s="2" t="inlineStr">
        <is>
          <t>ufw status</t>
        </is>
      </c>
      <c r="G6" s="2" t="inlineStr">
        <is>
          <t>Готово</t>
        </is>
      </c>
      <c r="H6" s="2" t="inlineStr"/>
    </row>
    <row r="7">
      <c r="A7" s="2" t="n">
        <v>6</v>
      </c>
      <c r="B7" s="2" t="inlineStr">
        <is>
          <t>1. Безопасность (пароли и ключи)</t>
        </is>
      </c>
      <c r="C7" s="2" t="inlineStr">
        <is>
          <t>Включить fail2ban (защита от подбора паролей SSH)</t>
        </is>
      </c>
      <c r="D7" s="2" t="inlineStr">
        <is>
          <t>Я</t>
        </is>
      </c>
      <c r="E7" s="2" t="inlineStr">
        <is>
          <t>Средний</t>
        </is>
      </c>
      <c r="F7" s="2" t="inlineStr">
        <is>
          <t>systemctl status fail2ban</t>
        </is>
      </c>
      <c r="G7" s="2" t="inlineStr">
        <is>
          <t>Готово</t>
        </is>
      </c>
      <c r="H7" s="2" t="inlineStr"/>
    </row>
    <row r="8">
      <c r="A8" s="2" t="n">
        <v>7</v>
      </c>
      <c r="B8" s="2" t="inlineStr">
        <is>
          <t>1. Безопасность (пароли и ключи)</t>
        </is>
      </c>
      <c r="C8" s="2" t="inlineStr">
        <is>
          <t>Сменить секрет Cloudflare Worker (relay Telegram), если он светился</t>
        </is>
      </c>
      <c r="D8" s="2" t="inlineStr">
        <is>
          <t>Вы</t>
        </is>
      </c>
      <c r="E8" s="2" t="inlineStr">
        <is>
          <t>Средний</t>
        </is>
      </c>
      <c r="F8" s="2" t="inlineStr"/>
      <c r="G8" s="2" t="inlineStr">
        <is>
          <t>Не начато</t>
        </is>
      </c>
      <c r="H8" s="2" t="inlineStr"/>
    </row>
    <row r="9">
      <c r="A9" s="2" t="n">
        <v>8</v>
      </c>
      <c r="B9" s="2" t="inlineStr">
        <is>
          <t>1. Безопасность (пароли и ключи)</t>
        </is>
      </c>
      <c r="C9" s="2" t="inlineStr">
        <is>
          <t>Проверить, что секретов нет в репозитории GitHub (и репозиторий приватный)</t>
        </is>
      </c>
      <c r="D9" s="2" t="inlineStr">
        <is>
          <t>Я</t>
        </is>
      </c>
      <c r="E9" s="2" t="inlineStr">
        <is>
          <t>Высокий</t>
        </is>
      </c>
      <c r="F9" s="2" t="inlineStr"/>
      <c r="G9" s="2" t="inlineStr">
        <is>
          <t>Не начато</t>
        </is>
      </c>
      <c r="H9" s="2" t="inlineStr"/>
    </row>
    <row r="10">
      <c r="A10" s="2" t="n">
        <v>9</v>
      </c>
      <c r="B10" s="2" t="inlineStr">
        <is>
          <t>1. Безопасность (пароли и ключи)</t>
        </is>
      </c>
      <c r="C10" s="2" t="inlineStr">
        <is>
          <t>Накатить обновления Ubuntu (240 пакетов), перезагрузить сервер в удобное время</t>
        </is>
      </c>
      <c r="D10" s="2" t="inlineStr">
        <is>
          <t>Вы + я</t>
        </is>
      </c>
      <c r="E10" s="2" t="inlineStr">
        <is>
          <t>Средний</t>
        </is>
      </c>
      <c r="F10" s="2" t="inlineStr">
        <is>
          <t>apt update &amp;&amp; apt upgrade -y (до переезда, не во время)</t>
        </is>
      </c>
      <c r="G10" s="2" t="inlineStr">
        <is>
          <t>Не начато</t>
        </is>
      </c>
      <c r="H10" s="2" t="inlineStr"/>
    </row>
    <row r="11">
      <c r="A11" s="2" t="n">
        <v>10</v>
      </c>
      <c r="B11" s="2" t="inlineStr">
        <is>
          <t>2. Оптимизация</t>
        </is>
      </c>
      <c r="C11" s="2" t="inlineStr">
        <is>
          <t>ВЕРНУТЬ фоновый приоритет синхронизации (убрать форсированный режим), удалить drop-in boost.conf</t>
        </is>
      </c>
      <c r="D11" s="2" t="inlineStr">
        <is>
          <t>Я</t>
        </is>
      </c>
      <c r="E11" s="2" t="inlineStr">
        <is>
          <t>Высокий</t>
        </is>
      </c>
      <c r="F11" s="2" t="inlineStr">
        <is>
          <t>rm /etc/systemd/system/bs-sync.service.d/boost.conf &amp;&amp; systemctl daemon-reload</t>
        </is>
      </c>
      <c r="G11" s="2" t="inlineStr">
        <is>
          <t>Не начато</t>
        </is>
      </c>
      <c r="H11" s="2" t="inlineStr"/>
    </row>
    <row r="12">
      <c r="A12" s="2" t="n">
        <v>11</v>
      </c>
      <c r="B12" s="2" t="inlineStr">
        <is>
          <t>2. Оптимизация</t>
        </is>
      </c>
      <c r="C12" s="2" t="inlineStr">
        <is>
          <t>Включить почасовую синхронизацию (bs-sync.timer) после окончания первого полного прогона</t>
        </is>
      </c>
      <c r="D12" s="2" t="inlineStr">
        <is>
          <t>Вы + я</t>
        </is>
      </c>
      <c r="E12" s="2" t="inlineStr">
        <is>
          <t>Высокий</t>
        </is>
      </c>
      <c r="F12" s="2" t="inlineStr">
        <is>
          <t>systemctl enable --now bs-sync.timer</t>
        </is>
      </c>
      <c r="G12" s="2" t="inlineStr">
        <is>
          <t>Не начато</t>
        </is>
      </c>
      <c r="H12" s="2" t="inlineStr"/>
    </row>
    <row r="13">
      <c r="A13" s="2" t="n">
        <v>12</v>
      </c>
      <c r="B13" s="2" t="inlineStr">
        <is>
          <t>2. Оптимизация</t>
        </is>
      </c>
      <c r="C13" s="2" t="inlineStr">
        <is>
          <t>wm-check: сохранять кэш каждые 100 позиций (сейчас пишется только в конце, прерывание = начало с нуля)</t>
        </is>
      </c>
      <c r="D13" s="2" t="inlineStr">
        <is>
          <t>Я</t>
        </is>
      </c>
      <c r="E13" s="2" t="inlineStr">
        <is>
          <t>Средний</t>
        </is>
      </c>
      <c r="F13" s="2" t="inlineStr">
        <is>
          <t>Доработка кода</t>
        </is>
      </c>
      <c r="G13" s="2" t="inlineStr">
        <is>
          <t>Готово</t>
        </is>
      </c>
      <c r="H13" s="2" t="inlineStr">
        <is>
          <t>Сделано в коде; на сервере появится после update.sh</t>
        </is>
      </c>
    </row>
    <row r="14">
      <c r="A14" s="2" t="n">
        <v>13</v>
      </c>
      <c r="B14" s="2" t="inlineStr">
        <is>
          <t>2. Оптимизация</t>
        </is>
      </c>
      <c r="C14" s="2" t="inlineStr">
        <is>
          <t>Применить настройку nginx (кэш, защита от перегрузки): deploy/tune-nginx.sh</t>
        </is>
      </c>
      <c r="D14" s="2" t="inlineStr">
        <is>
          <t>Вы + я</t>
        </is>
      </c>
      <c r="E14" s="2" t="inlineStr">
        <is>
          <t>Высокий</t>
        </is>
      </c>
      <c r="F14" s="2" t="inlineStr">
        <is>
          <t>bash /opt/salut38-src/deploy/tune-nginx.sh</t>
        </is>
      </c>
      <c r="G14" s="2" t="inlineStr">
        <is>
          <t>Не начато</t>
        </is>
      </c>
      <c r="H14" s="2" t="inlineStr"/>
    </row>
    <row r="15">
      <c r="A15" s="2" t="n">
        <v>14</v>
      </c>
      <c r="B15" s="2" t="inlineStr">
        <is>
          <t>2. Оптимизация</t>
        </is>
      </c>
      <c r="C15" s="2" t="inlineStr">
        <is>
          <t>Cloudflare перед сайтом при переезде (кэш статики, защита от DDoS)</t>
        </is>
      </c>
      <c r="D15" s="2" t="inlineStr">
        <is>
          <t>Вы + я</t>
        </is>
      </c>
      <c r="E15" s="2" t="inlineStr">
        <is>
          <t>Высокий</t>
        </is>
      </c>
      <c r="F15" s="2" t="inlineStr">
        <is>
          <t>Делаем вместе при смене DNS</t>
        </is>
      </c>
      <c r="G15" s="2" t="inlineStr">
        <is>
          <t>Не начато</t>
        </is>
      </c>
      <c r="H15" s="2" t="inlineStr"/>
    </row>
    <row r="16">
      <c r="A16" s="2" t="n">
        <v>15</v>
      </c>
      <c r="B16" s="2" t="inlineStr">
        <is>
          <t>2. Оптимизация</t>
        </is>
      </c>
      <c r="C16" s="2" t="inlineStr">
        <is>
          <t>Ротация логов и очистка: journald, nginx, /tmp (не переполнить диск 40 ГБ)</t>
        </is>
      </c>
      <c r="D16" s="2" t="inlineStr">
        <is>
          <t>Я</t>
        </is>
      </c>
      <c r="E16" s="2" t="inlineStr">
        <is>
          <t>Средний</t>
        </is>
      </c>
      <c r="F16" s="2" t="inlineStr"/>
      <c r="G16" s="2" t="inlineStr">
        <is>
          <t>Не начато</t>
        </is>
      </c>
      <c r="H16" s="2" t="inlineStr"/>
    </row>
    <row r="17">
      <c r="A17" s="2" t="n">
        <v>16</v>
      </c>
      <c r="B17" s="2" t="inlineStr">
        <is>
          <t>2. Оптимизация</t>
        </is>
      </c>
      <c r="C17" s="2" t="inlineStr">
        <is>
          <t>Резервные копии: /var/lib/bs-data (заказы, пользователи, кэши) — ежедневно, хранить 14 дней; проверить восстановление</t>
        </is>
      </c>
      <c r="D17" s="2" t="inlineStr">
        <is>
          <t>Я</t>
        </is>
      </c>
      <c r="E17" s="2" t="inlineStr">
        <is>
          <t>Высокий</t>
        </is>
      </c>
      <c r="F17" s="2" t="inlineStr">
        <is>
          <t>Заказы — самые ценные данные</t>
        </is>
      </c>
      <c r="G17" s="2" t="inlineStr">
        <is>
          <t>Не начато</t>
        </is>
      </c>
      <c r="H17" s="2" t="inlineStr"/>
    </row>
    <row r="18">
      <c r="A18" s="2" t="n">
        <v>17</v>
      </c>
      <c r="B18" s="2" t="inlineStr">
        <is>
          <t>2. Оптимизация</t>
        </is>
      </c>
      <c r="C18" s="2" t="inlineStr">
        <is>
          <t>Проверить мониторинг: тестовое оповещение о нагрузке &gt;80% и о новом заказе приходит в бота</t>
        </is>
      </c>
      <c r="D18" s="2" t="inlineStr">
        <is>
          <t>Вы + я</t>
        </is>
      </c>
      <c r="E18" s="2" t="inlineStr">
        <is>
          <t>Средний</t>
        </is>
      </c>
      <c r="F18" s="2" t="inlineStr"/>
      <c r="G18" s="2" t="inlineStr">
        <is>
          <t>Не начато</t>
        </is>
      </c>
      <c r="H18" s="2" t="inlineStr"/>
    </row>
    <row r="19">
      <c r="A19" s="2" t="n">
        <v>18</v>
      </c>
      <c r="B19" s="2" t="inlineStr">
        <is>
          <t>2. Оптимизация</t>
        </is>
      </c>
      <c r="C19" s="2" t="inlineStr">
        <is>
          <t>Проверка скорости сайта на телефоне (Lighthouse), размер картинок и видео</t>
        </is>
      </c>
      <c r="D19" s="2" t="inlineStr">
        <is>
          <t>Я</t>
        </is>
      </c>
      <c r="E19" s="2" t="inlineStr">
        <is>
          <t>Средний</t>
        </is>
      </c>
      <c r="F19" s="2" t="inlineStr"/>
      <c r="G19" s="2" t="inlineStr">
        <is>
          <t>Не начато</t>
        </is>
      </c>
      <c r="H19" s="2" t="inlineStr"/>
    </row>
    <row r="20">
      <c r="A20" s="2" t="n">
        <v>19</v>
      </c>
      <c r="B20" s="2" t="inlineStr">
        <is>
          <t>2. Оптимизация</t>
        </is>
      </c>
      <c r="C20" s="2" t="inlineStr">
        <is>
          <t>Старые картинки InSales у существующих товаров: сравнить с картинками поставщика и предложить замену там, где у поставщика заметно лучше</t>
        </is>
      </c>
      <c r="D20" s="2" t="inlineStr">
        <is>
          <t>Вы + я</t>
        </is>
      </c>
      <c r="E20" s="2" t="inlineStr">
        <is>
          <t>Низкий</t>
        </is>
      </c>
      <c r="F20" s="2" t="inlineStr">
        <is>
          <t>Решаем после переезда</t>
        </is>
      </c>
      <c r="G20" s="2" t="inlineStr">
        <is>
          <t>Не начато</t>
        </is>
      </c>
      <c r="H20" s="2" t="inlineStr"/>
    </row>
    <row r="21">
      <c r="A21" s="2" t="n">
        <v>20</v>
      </c>
      <c r="B21" s="2" t="inlineStr">
        <is>
          <t>3. Каталог и данные</t>
        </is>
      </c>
      <c r="C21" s="2" t="inlineStr">
        <is>
          <t>Дождаться конца полной проверки водяных знаков (wm-check), проверить итог в журнале</t>
        </is>
      </c>
      <c r="D21" s="2" t="inlineStr">
        <is>
          <t>Вы</t>
        </is>
      </c>
      <c r="E21" s="2" t="inlineStr">
        <is>
          <t>Высокий</t>
        </is>
      </c>
      <c r="F21" s="2" t="inlineStr">
        <is>
          <t>journalctl -u bs-sync --no-pager | grep -E "Проверено|Видео|Длина"</t>
        </is>
      </c>
      <c r="G21" s="2" t="inlineStr">
        <is>
          <t>Не начато</t>
        </is>
      </c>
      <c r="H21" s="2" t="inlineStr"/>
    </row>
    <row r="22">
      <c r="A22" s="2" t="n">
        <v>21</v>
      </c>
      <c r="B22" s="2" t="inlineStr">
        <is>
          <t>3. Каталог и данные</t>
        </is>
      </c>
      <c r="C22" s="2" t="inlineStr">
        <is>
          <t>Просмотреть раздел «Требуют внимания» (≈65 позиций): 🔴 скрыты, 🟡 показаны — решить по каждой</t>
        </is>
      </c>
      <c r="D22" s="2" t="inlineStr">
        <is>
          <t>Вы</t>
        </is>
      </c>
      <c r="E22" s="2" t="inlineStr">
        <is>
          <t>Высокий</t>
        </is>
      </c>
      <c r="F22" s="2" t="inlineStr">
        <is>
          <t>Приложение заказов → Товары → ⚠</t>
        </is>
      </c>
      <c r="G22" s="2" t="inlineStr">
        <is>
          <t>Не начато</t>
        </is>
      </c>
      <c r="H22" s="2" t="inlineStr"/>
    </row>
    <row r="23">
      <c r="A23" s="2" t="n">
        <v>22</v>
      </c>
      <c r="B23" s="2" t="inlineStr">
        <is>
          <t>3. Каталог и данные</t>
        </is>
      </c>
      <c r="C23" s="2" t="inlineStr">
        <is>
          <t>Выкатить характеристики от поставщика (время работы, размер, высота) и проверить карточки: MC143, «Не звезди!» (БС754), «Душа нараспашку»</t>
        </is>
      </c>
      <c r="D23" s="2" t="inlineStr">
        <is>
          <t>Вы</t>
        </is>
      </c>
      <c r="E23" s="2" t="inlineStr">
        <is>
          <t>Высокий</t>
        </is>
      </c>
      <c r="F23" s="2" t="inlineStr">
        <is>
          <t>bash /opt/salut38-src/deploy/update.sh (дважды)</t>
        </is>
      </c>
      <c r="G23" s="2" t="inlineStr">
        <is>
          <t>Не начато</t>
        </is>
      </c>
      <c r="H23" s="2" t="inlineStr"/>
    </row>
    <row r="24">
      <c r="A24" s="2" t="n">
        <v>23</v>
      </c>
      <c r="B24" s="2" t="inlineStr">
        <is>
          <t>3. Каталог и данные</t>
        </is>
      </c>
      <c r="C24" s="2" t="inlineStr">
        <is>
          <t>Отправить письмо программисту поставщика: все характеристики в API + как отправлять заказы</t>
        </is>
      </c>
      <c r="D24" s="2" t="inlineStr">
        <is>
          <t>Вы</t>
        </is>
      </c>
      <c r="E24" s="2" t="inlineStr">
        <is>
          <t>Высокий</t>
        </is>
      </c>
      <c r="F24" s="2" t="inlineStr">
        <is>
          <t>Текст письма у меня готов</t>
        </is>
      </c>
      <c r="G24" s="2" t="inlineStr">
        <is>
          <t>Не начато</t>
        </is>
      </c>
      <c r="H24" s="2" t="inlineStr"/>
    </row>
    <row r="25">
      <c r="A25" s="2" t="n">
        <v>24</v>
      </c>
      <c r="B25" s="2" t="inlineStr">
        <is>
          <t>3. Каталог и данные</t>
        </is>
      </c>
      <c r="C25" s="2" t="inlineStr">
        <is>
          <t>Решить судьбу категорий «Сигнал охотника» и «Наборы (Россия)» (сейчас не на сайте)</t>
        </is>
      </c>
      <c r="D25" s="2" t="inlineStr">
        <is>
          <t>Вы</t>
        </is>
      </c>
      <c r="E25" s="2" t="inlineStr">
        <is>
          <t>Средний</t>
        </is>
      </c>
      <c r="F25" s="2" t="inlineStr"/>
      <c r="G25" s="2" t="inlineStr">
        <is>
          <t>Не начато</t>
        </is>
      </c>
      <c r="H25" s="2" t="inlineStr"/>
    </row>
    <row r="26">
      <c r="A26" s="2" t="n">
        <v>25</v>
      </c>
      <c r="B26" s="2" t="inlineStr">
        <is>
          <t>3. Каталог и данные</t>
        </is>
      </c>
      <c r="C26" s="2" t="inlineStr">
        <is>
          <t>MC146: проверить переименование «Explosive!» → «Русская душа» (возможное совпадение с PC9230)</t>
        </is>
      </c>
      <c r="D26" s="2" t="inlineStr">
        <is>
          <t>Вы</t>
        </is>
      </c>
      <c r="E26" s="2" t="inlineStr">
        <is>
          <t>Низкий</t>
        </is>
      </c>
      <c r="F26" s="2" t="inlineStr"/>
      <c r="G26" s="2" t="inlineStr">
        <is>
          <t>Не начато</t>
        </is>
      </c>
      <c r="H26" s="2" t="inlineStr"/>
    </row>
    <row r="27">
      <c r="A27" s="2" t="n">
        <v>26</v>
      </c>
      <c r="B27" s="2" t="inlineStr">
        <is>
          <t>3. Каталог и данные</t>
        </is>
      </c>
      <c r="C27" s="2" t="inlineStr">
        <is>
          <t>Просмотреть список скрытых товаров (нет у поставщика) — нет ли ошибок</t>
        </is>
      </c>
      <c r="D27" s="2" t="inlineStr">
        <is>
          <t>Вы</t>
        </is>
      </c>
      <c r="E27" s="2" t="inlineStr">
        <is>
          <t>Средний</t>
        </is>
      </c>
      <c r="F27" s="2" t="inlineStr"/>
      <c r="G27" s="2" t="inlineStr">
        <is>
          <t>Не начато</t>
        </is>
      </c>
      <c r="H27" s="2" t="inlineStr"/>
    </row>
    <row r="28">
      <c r="A28" s="2" t="n">
        <v>27</v>
      </c>
      <c r="B28" s="2" t="inlineStr">
        <is>
          <t>3. Каталог и данные</t>
        </is>
      </c>
      <c r="C28" s="2" t="inlineStr">
        <is>
          <t>Включить низкое-качество-проверку для старых картинок InSales (предложено)</t>
        </is>
      </c>
      <c r="D28" s="2" t="inlineStr">
        <is>
          <t>Вы</t>
        </is>
      </c>
      <c r="E28" s="2" t="inlineStr">
        <is>
          <t>Низкий</t>
        </is>
      </c>
      <c r="F28" s="2" t="inlineStr"/>
      <c r="G28" s="2" t="inlineStr">
        <is>
          <t>Не начато</t>
        </is>
      </c>
      <c r="H28" s="2" t="inlineStr"/>
    </row>
    <row r="29">
      <c r="A29" s="2" t="n">
        <v>28</v>
      </c>
      <c r="B29" s="2" t="inlineStr">
        <is>
          <t>4. Приложение заказов</t>
        </is>
      </c>
      <c r="C29" s="2" t="inlineStr">
        <is>
          <t>Проверить редактирование заказа (✏️) на всех стадиях и историю правок</t>
        </is>
      </c>
      <c r="D29" s="2" t="inlineStr">
        <is>
          <t>Вы</t>
        </is>
      </c>
      <c r="E29" s="2" t="inlineStr">
        <is>
          <t>Высокий</t>
        </is>
      </c>
      <c r="F29" s="2" t="inlineStr"/>
      <c r="G29" s="2" t="inlineStr">
        <is>
          <t>Не начато</t>
        </is>
      </c>
      <c r="H29" s="2" t="inlineStr"/>
    </row>
    <row r="30">
      <c r="A30" s="2" t="n">
        <v>29</v>
      </c>
      <c r="B30" s="2" t="inlineStr">
        <is>
          <t>4. Приложение заказов</t>
        </is>
      </c>
      <c r="C30" s="2" t="inlineStr">
        <is>
          <t>Заново собрать роли сотрудников (сейчас одна роль «Владелец»), затем проверить форму создания сотрудника</t>
        </is>
      </c>
      <c r="D30" s="2" t="inlineStr">
        <is>
          <t>Вы + я</t>
        </is>
      </c>
      <c r="E30" s="2" t="inlineStr">
        <is>
          <t>Средний</t>
        </is>
      </c>
      <c r="F30" s="2" t="inlineStr">
        <is>
          <t>Отдельная задача после переезда</t>
        </is>
      </c>
      <c r="G30" s="2" t="inlineStr">
        <is>
          <t>Не начато</t>
        </is>
      </c>
      <c r="H30" s="2" t="inlineStr"/>
    </row>
    <row r="31">
      <c r="A31" s="2" t="n">
        <v>30</v>
      </c>
      <c r="B31" s="2" t="inlineStr">
        <is>
          <t>4. Приложение заказов</t>
        </is>
      </c>
      <c r="C31" s="2" t="inlineStr">
        <is>
          <t>Автоотправка заказа поставщику: подключить после получения документации по API заказов</t>
        </is>
      </c>
      <c r="D31" s="2" t="inlineStr">
        <is>
          <t>Я</t>
        </is>
      </c>
      <c r="E31" s="2" t="inlineStr">
        <is>
          <t>Средний</t>
        </is>
      </c>
      <c r="F31" s="2" t="inlineStr">
        <is>
          <t>Ждём ответ поставщика</t>
        </is>
      </c>
      <c r="G31" s="2" t="inlineStr">
        <is>
          <t>Не начато</t>
        </is>
      </c>
      <c r="H31" s="2" t="inlineStr"/>
    </row>
    <row r="32">
      <c r="A32" s="2" t="n">
        <v>31</v>
      </c>
      <c r="B32" s="2" t="inlineStr">
        <is>
          <t>4. Приложение заказов</t>
        </is>
      </c>
      <c r="C32" s="2" t="inlineStr">
        <is>
          <t>Тестовый заказ целиком: сайт → уведомление в Telegram → приложение → статусы</t>
        </is>
      </c>
      <c r="D32" s="2" t="inlineStr">
        <is>
          <t>Вы + я</t>
        </is>
      </c>
      <c r="E32" s="2" t="inlineStr">
        <is>
          <t>Высокий</t>
        </is>
      </c>
      <c r="F32" s="2" t="inlineStr"/>
      <c r="G32" s="2" t="inlineStr">
        <is>
          <t>Не начато</t>
        </is>
      </c>
      <c r="H32" s="2" t="inlineStr"/>
    </row>
    <row r="33">
      <c r="A33" s="2" t="n">
        <v>32</v>
      </c>
      <c r="B33" s="2" t="inlineStr">
        <is>
          <t>5. Переезд на salut38.shop</t>
        </is>
      </c>
      <c r="C33" s="2" t="inlineStr">
        <is>
          <t>DNS: A-запись домена на 80.78.245.34 (через Cloudflare), срок обновления 5–60 мин</t>
        </is>
      </c>
      <c r="D33" s="2" t="inlineStr">
        <is>
          <t>Вы</t>
        </is>
      </c>
      <c r="E33" s="2" t="inlineStr">
        <is>
          <t>Высокий</t>
        </is>
      </c>
      <c r="F33" s="2" t="inlineStr"/>
      <c r="G33" s="2" t="inlineStr">
        <is>
          <t>Не начато</t>
        </is>
      </c>
      <c r="H33" s="2" t="inlineStr"/>
    </row>
    <row r="34">
      <c r="A34" s="2" t="n">
        <v>33</v>
      </c>
      <c r="B34" s="2" t="inlineStr">
        <is>
          <t>5. Переезд на salut38.shop</t>
        </is>
      </c>
      <c r="C34" s="2" t="inlineStr">
        <is>
          <t>Сертификат Let's Encrypt для salut38.shop и app.salut38.shop (certbot), автопродление</t>
        </is>
      </c>
      <c r="D34" s="2" t="inlineStr">
        <is>
          <t>Я</t>
        </is>
      </c>
      <c r="E34" s="2" t="inlineStr">
        <is>
          <t>Высокий</t>
        </is>
      </c>
      <c r="F34" s="2" t="inlineStr"/>
      <c r="G34" s="2" t="inlineStr">
        <is>
          <t>Не начато</t>
        </is>
      </c>
      <c r="H34" s="2" t="inlineStr"/>
    </row>
    <row r="35">
      <c r="A35" s="2" t="n">
        <v>34</v>
      </c>
      <c r="B35" s="2" t="inlineStr">
        <is>
          <t>5. Переезд на salut38.shop</t>
        </is>
      </c>
      <c r="C35" s="2" t="inlineStr">
        <is>
          <t>Изменить BASE/nginx под новый домен; убрать временный noindex и robots-temp</t>
        </is>
      </c>
      <c r="D35" s="2" t="inlineStr">
        <is>
          <t>Я</t>
        </is>
      </c>
      <c r="E35" s="2" t="inlineStr">
        <is>
          <t>Высокий</t>
        </is>
      </c>
      <c r="F35" s="2" t="inlineStr">
        <is>
          <t>update.sh без режима temp</t>
        </is>
      </c>
      <c r="G35" s="2" t="inlineStr">
        <is>
          <t>Не начато</t>
        </is>
      </c>
      <c r="H35" s="2" t="inlineStr"/>
    </row>
    <row r="36">
      <c r="A36" s="2" t="n">
        <v>35</v>
      </c>
      <c r="B36" s="2" t="inlineStr">
        <is>
          <t>5. Переезд на salut38.shop</t>
        </is>
      </c>
      <c r="C36" s="2" t="inlineStr">
        <is>
          <t>301-редиректы со старого сайта (адреса товаров) на новый, sitemap.xml, robots.txt</t>
        </is>
      </c>
      <c r="D36" s="2" t="inlineStr">
        <is>
          <t>Я</t>
        </is>
      </c>
      <c r="E36" s="2" t="inlineStr">
        <is>
          <t>Высокий</t>
        </is>
      </c>
      <c r="F36" s="2" t="inlineStr"/>
      <c r="G36" s="2" t="inlineStr">
        <is>
          <t>Не начато</t>
        </is>
      </c>
      <c r="H36" s="2" t="inlineStr"/>
    </row>
    <row r="37">
      <c r="A37" s="2" t="n">
        <v>36</v>
      </c>
      <c r="B37" s="2" t="inlineStr">
        <is>
          <t>5. Переезд на salut38.shop</t>
        </is>
      </c>
      <c r="C37" s="2" t="inlineStr">
        <is>
          <t>Яндекс.Вебмастер и Метрика: добавить новый домен, подтвердить, отправить sitemap</t>
        </is>
      </c>
      <c r="D37" s="2" t="inlineStr">
        <is>
          <t>Вы + я</t>
        </is>
      </c>
      <c r="E37" s="2" t="inlineStr">
        <is>
          <t>Средний</t>
        </is>
      </c>
      <c r="F37" s="2" t="inlineStr"/>
      <c r="G37" s="2" t="inlineStr">
        <is>
          <t>Не начато</t>
        </is>
      </c>
      <c r="H37" s="2" t="inlineStr"/>
    </row>
    <row r="38">
      <c r="A38" s="2" t="n">
        <v>37</v>
      </c>
      <c r="B38" s="2" t="inlineStr">
        <is>
          <t>5. Переезд на salut38.shop</t>
        </is>
      </c>
      <c r="C38" s="2" t="inlineStr">
        <is>
          <t>Проверить ссылки в Telegram-боте, приложении, QR-коде дисконтной карты и в рекламе на новый домен</t>
        </is>
      </c>
      <c r="D38" s="2" t="inlineStr">
        <is>
          <t>Вы</t>
        </is>
      </c>
      <c r="E38" s="2" t="inlineStr">
        <is>
          <t>Средний</t>
        </is>
      </c>
      <c r="F38" s="2" t="inlineStr"/>
      <c r="G38" s="2" t="inlineStr">
        <is>
          <t>Не начато</t>
        </is>
      </c>
      <c r="H38" s="2" t="inlineStr"/>
    </row>
    <row r="39">
      <c r="A39" s="2" t="n">
        <v>38</v>
      </c>
      <c r="B39" s="2" t="inlineStr">
        <is>
          <t>5. Переезд на salut38.shop</t>
        </is>
      </c>
      <c r="C39" s="2" t="inlineStr">
        <is>
          <t>Окно переезда ночью; план отката (вернуть DNS, оставить старый сайт 2–3 дня)</t>
        </is>
      </c>
      <c r="D39" s="2" t="inlineStr">
        <is>
          <t>Вы + я</t>
        </is>
      </c>
      <c r="E39" s="2" t="inlineStr">
        <is>
          <t>Высокий</t>
        </is>
      </c>
      <c r="F39" s="2" t="inlineStr"/>
      <c r="G39" s="2" t="inlineStr">
        <is>
          <t>Не начато</t>
        </is>
      </c>
      <c r="H39" s="2" t="inlineStr"/>
    </row>
    <row r="40">
      <c r="A40" s="2" t="n">
        <v>39</v>
      </c>
      <c r="B40" s="2" t="inlineStr">
        <is>
          <t>6. Юридическое</t>
        </is>
      </c>
      <c r="C40" s="2" t="inlineStr">
        <is>
          <t>Политика конфиденциальности, согласие на обработку персональных данных, публичная оферта на сайте</t>
        </is>
      </c>
      <c r="D40" s="2" t="inlineStr">
        <is>
          <t>Вы</t>
        </is>
      </c>
      <c r="E40" s="2" t="inlineStr">
        <is>
          <t>Высокий</t>
        </is>
      </c>
      <c r="F40" s="2" t="inlineStr">
        <is>
          <t>Данные клиентов собираем в заказах</t>
        </is>
      </c>
      <c r="G40" s="2" t="inlineStr">
        <is>
          <t>Не начато</t>
        </is>
      </c>
      <c r="H40" s="2" t="inlineStr"/>
    </row>
    <row r="41">
      <c r="A41" s="2" t="n">
        <v>40</v>
      </c>
      <c r="B41" s="2" t="inlineStr">
        <is>
          <t>6. Юридическое</t>
        </is>
      </c>
      <c r="C41" s="2" t="inlineStr">
        <is>
          <t>Уведомление Роскомнадзора об обработке персональных данных (если требуется), хранение данных на серверах в РФ</t>
        </is>
      </c>
      <c r="D41" s="2" t="inlineStr">
        <is>
          <t>Вы</t>
        </is>
      </c>
      <c r="E41" s="2" t="inlineStr">
        <is>
          <t>Высокий</t>
        </is>
      </c>
      <c r="F41" s="2" t="inlineStr">
        <is>
          <t>Сервер Reg.cloud — РФ</t>
        </is>
      </c>
      <c r="G41" s="2" t="inlineStr">
        <is>
          <t>Не начато</t>
        </is>
      </c>
      <c r="H41" s="2" t="inlineStr"/>
    </row>
    <row r="42">
      <c r="A42" s="2" t="n">
        <v>41</v>
      </c>
      <c r="B42" s="2" t="inlineStr">
        <is>
          <t>6. Юридическое</t>
        </is>
      </c>
      <c r="C42" s="2" t="inlineStr">
        <is>
          <t>Возрастные ограничения и правила продажи пиротехники на сайте (18+, документы поставщика, сертификаты)</t>
        </is>
      </c>
      <c r="D42" s="2" t="inlineStr">
        <is>
          <t>Вы</t>
        </is>
      </c>
      <c r="E42" s="2" t="inlineStr">
        <is>
          <t>Высокий</t>
        </is>
      </c>
      <c r="F42" s="2" t="inlineStr"/>
      <c r="G42" s="2" t="inlineStr">
        <is>
          <t>Не начато</t>
        </is>
      </c>
      <c r="H42" s="2" t="inlineStr"/>
    </row>
    <row r="43">
      <c r="A43" s="2" t="n">
        <v>42</v>
      </c>
      <c r="B43" s="2" t="inlineStr">
        <is>
          <t>6. Юридическое</t>
        </is>
      </c>
      <c r="C43" s="2" t="inlineStr">
        <is>
          <t>Проверить соответствие рекламы/описаний правилам ФАС для пиротехники</t>
        </is>
      </c>
      <c r="D43" s="2" t="inlineStr">
        <is>
          <t>Вы</t>
        </is>
      </c>
      <c r="E43" s="2" t="inlineStr">
        <is>
          <t>Средний</t>
        </is>
      </c>
      <c r="F43" s="2" t="inlineStr"/>
      <c r="G43" s="2" t="inlineStr">
        <is>
          <t>Не начато</t>
        </is>
      </c>
      <c r="H43" s="2" t="inlineStr"/>
    </row>
    <row r="44">
      <c r="A44" t="n">
        <v>43</v>
      </c>
      <c r="B44" t="inlineStr">
        <is>
          <t>4. Приложение заказов</t>
        </is>
      </c>
      <c r="C44" t="inlineStr">
        <is>
          <t>Клиентский бот: проверить ссылки start=card, start=promo_&lt;метка&gt;, статус заказа (номер + 4 цифры), просто /start (приветствие)</t>
        </is>
      </c>
      <c r="D44" t="inlineStr">
        <is>
          <t>Вы</t>
        </is>
      </c>
      <c r="E44" t="inlineStr">
        <is>
          <t>Высокий</t>
        </is>
      </c>
      <c r="F44" t="inlineStr">
        <is>
          <t>Ссылка на карту — в приложении: Промокоды</t>
        </is>
      </c>
      <c r="G44" t="inlineStr">
        <is>
          <t>Не начато</t>
        </is>
      </c>
    </row>
    <row r="45">
      <c r="A45" t="n">
        <v>44</v>
      </c>
      <c r="B45" t="inlineStr">
        <is>
          <t>7. Подписчики и бот</t>
        </is>
      </c>
      <c r="C45" t="inlineStr">
        <is>
          <t>Выполнено 9.10: перенос бота @Salut38_bot с BotHelp на наш сервер (токен, deleteWebhook, меню, сообщения), BotHelp остановлен, оплата отключена</t>
        </is>
      </c>
      <c r="D45" t="inlineStr">
        <is>
          <t>Я</t>
        </is>
      </c>
      <c r="E45" t="inlineStr">
        <is>
          <t>Высокий</t>
        </is>
      </c>
      <c r="F45" t="inlineStr">
        <is>
          <t>Данные в BotHelp хранятся ещё 6 месяцев</t>
        </is>
      </c>
      <c r="G45" t="inlineStr">
        <is>
          <t>Готово</t>
        </is>
      </c>
      <c r="H45" t="inlineStr">
        <is>
          <t>Удалять бота в BotHelp не раньше, чем через 1–2 недели</t>
        </is>
      </c>
    </row>
    <row r="46">
      <c r="A46" t="n">
        <v>45</v>
      </c>
      <c r="B46" t="inlineStr">
        <is>
          <t>7. Подписчики и бот</t>
        </is>
      </c>
      <c r="C46" t="inlineStr">
        <is>
          <t>Включить двухфакторную защиту (облачный пароль) на Telegram-аккаунте, с которого создан @Salut38_bot, и сохранить резервные способы входа</t>
        </is>
      </c>
      <c r="D46" t="inlineStr">
        <is>
          <t>Вы</t>
        </is>
      </c>
      <c r="E46" t="inlineStr">
        <is>
          <t>Высокий</t>
        </is>
      </c>
      <c r="F46" t="inlineStr">
        <is>
          <t>Telegram → Настройки → Конфиденциальность → Облачный пароль</t>
        </is>
      </c>
      <c r="G46" t="inlineStr">
        <is>
          <t>Не начато</t>
        </is>
      </c>
      <c r="H46" t="inlineStr">
        <is>
          <t>Потеря доступа = потеря всей базы подписчиков</t>
        </is>
      </c>
    </row>
    <row r="47">
      <c r="A47" t="n">
        <v>46</v>
      </c>
      <c r="B47" t="inlineStr">
        <is>
          <t>7. Подписчики и бот</t>
        </is>
      </c>
      <c r="C47" t="inlineStr">
        <is>
          <t>Сохранить CSV-выгрузку подписчиков из BotHelp в надёжное место и удалить её с телефона после проверки (там личные данные)</t>
        </is>
      </c>
      <c r="D47" t="inlineStr">
        <is>
          <t>Вы</t>
        </is>
      </c>
      <c r="E47" t="inlineStr">
        <is>
          <t>Средний</t>
        </is>
      </c>
      <c r="F47" t="inlineStr">
        <is>
          <t>Раздел «Рассылки» уже содержит импорт</t>
        </is>
      </c>
      <c r="G47" t="inlineStr">
        <is>
          <t>Не начато</t>
        </is>
      </c>
    </row>
    <row r="48">
      <c r="A48" t="n">
        <v>47</v>
      </c>
      <c r="B48" t="inlineStr">
        <is>
          <t>7. Подписчики и бот</t>
        </is>
      </c>
      <c r="C48" t="inlineStr">
        <is>
          <t>Отправить первую рассылку (короткое «кто мы»), посмотреть сколько заблокировали, затем разбить базу по метке «заказывал/давно не заказывал»</t>
        </is>
      </c>
      <c r="D48" t="inlineStr">
        <is>
          <t>Вы</t>
        </is>
      </c>
      <c r="E48" t="inlineStr">
        <is>
          <t>Средний</t>
        </is>
      </c>
      <c r="F48" t="inlineStr">
        <is>
          <t>Приложение → Рассылки → Новая рассылка (сначала «Отправить тест себе»)</t>
        </is>
      </c>
      <c r="G48" t="inlineStr">
        <is>
          <t>Не начато</t>
        </is>
      </c>
      <c r="H48" t="inlineStr">
        <is>
          <t>Пауза 30 дней после заказа включена</t>
        </is>
      </c>
    </row>
    <row r="49">
      <c r="A49" t="n">
        <v>48</v>
      </c>
      <c r="B49" t="inlineStr">
        <is>
          <t>7. Подписчики и бот</t>
        </is>
      </c>
      <c r="C49" t="inlineStr">
        <is>
          <t>После переезда на salut38.shop: поменять SITE_URL и SHOP_URL в /etc/bs.env, перезапустить bs, проверить кнопки «выбрать салют», «в магазин» и личную карту</t>
        </is>
      </c>
      <c r="D49" t="inlineStr">
        <is>
          <t>Вы + я</t>
        </is>
      </c>
      <c r="E49" t="inlineStr">
        <is>
          <t>Высокий</t>
        </is>
      </c>
      <c r="F49" t="inlineStr">
        <is>
          <t>nano /etc/bs.env → systemctl restart bs</t>
        </is>
      </c>
      <c r="G49" t="inlineStr">
        <is>
          <t>Не начато</t>
        </is>
      </c>
      <c r="H49" t="inlineStr">
        <is>
          <t>Сейчас SHOP_URL ведёт на старый salut38.shop</t>
        </is>
      </c>
    </row>
    <row r="50">
      <c r="A50" t="n">
        <v>49</v>
      </c>
      <c r="B50" t="inlineStr">
        <is>
          <t>7. Подписчики и бот</t>
        </is>
      </c>
      <c r="C50" t="inlineStr">
        <is>
          <t>После переезда сайта и перевода подписчиков на личные карты убрать меню в стиле BotHelp: LEGACY_MENU=0</t>
        </is>
      </c>
      <c r="D50" t="inlineStr">
        <is>
          <t>Вы + я</t>
        </is>
      </c>
      <c r="E50" t="inlineStr">
        <is>
          <t>Средний</t>
        </is>
      </c>
      <c r="F50" t="inlineStr">
        <is>
          <t>nano /etc/bs.env → systemctl restart bs</t>
        </is>
      </c>
      <c r="G50" t="inlineStr">
        <is>
          <t>Не начато</t>
        </is>
      </c>
      <c r="H50" t="inlineStr">
        <is>
          <t>Старые промокоды БОТ05–БОТ30 остаются</t>
        </is>
      </c>
    </row>
    <row r="51">
      <c r="A51" t="n">
        <v>50</v>
      </c>
      <c r="B51" t="inlineStr">
        <is>
          <t>7. Подписчики и бот</t>
        </is>
      </c>
      <c r="C51" t="inlineStr">
        <is>
          <t>Решить судьбу бота ВКонтакте «Русский фейерверк» и ботов Братск/PartyRoom в BotHelp: оставить дешёвый тариф или перенести к нам</t>
        </is>
      </c>
      <c r="D51" t="inlineStr">
        <is>
          <t>Вы</t>
        </is>
      </c>
      <c r="E51" t="inlineStr">
        <is>
          <t>Низкий</t>
        </is>
      </c>
      <c r="F51" t="inlineStr">
        <is>
          <t>Оплата BotHelp отключена, боты работают до конца оплаченного периода</t>
        </is>
      </c>
      <c r="G51" t="inlineStr">
        <is>
          <t>Не начато</t>
        </is>
      </c>
    </row>
    <row r="52">
      <c r="A52" t="n">
        <v>51</v>
      </c>
      <c r="B52" t="inlineStr">
        <is>
          <t>7. Подписчики и бот</t>
        </is>
      </c>
      <c r="C52" t="inlineStr">
        <is>
          <t>Юридически уточнить: рекламные рассылки (согласие/возможность отказа, ст. 18 закона «О рекламе»), хранение персональных данных подписчиков</t>
        </is>
      </c>
      <c r="D52" t="inlineStr">
        <is>
          <t>Вы</t>
        </is>
      </c>
      <c r="E52" t="inlineStr">
        <is>
          <t>Средний</t>
        </is>
      </c>
      <c r="F52" t="inlineStr">
        <is>
          <t>Консультация юриста</t>
        </is>
      </c>
      <c r="G52" t="inlineStr">
        <is>
          <t>Не начато</t>
        </is>
      </c>
      <c r="H52" t="inlineStr">
        <is>
          <t>Приписку про /stop в рассылках убрали по решению владельца</t>
        </is>
      </c>
    </row>
    <row r="53">
      <c r="A53" t="n">
        <v>52</v>
      </c>
      <c r="B53" t="inlineStr">
        <is>
          <t>7. Подписчики и бот</t>
        </is>
      </c>
      <c r="C53" t="inlineStr">
        <is>
          <t>Перевыпустить ALERT_TOKEN и SALUT_SECRET: они попали на скриншот в чате</t>
        </is>
      </c>
      <c r="D53" t="inlineStr">
        <is>
          <t>Вы + я</t>
        </is>
      </c>
      <c r="E53" t="inlineStr">
        <is>
          <t>Высокий</t>
        </is>
      </c>
      <c r="F53" t="inlineStr">
        <is>
          <t>@BotFather → /revoke; кабинет поставщика</t>
        </is>
      </c>
      <c r="G53" t="inlineStr">
        <is>
          <t>Не начато</t>
        </is>
      </c>
      <c r="H53" t="inlineStr">
        <is>
          <t>Дубль п.1–2 на случай, если забудется</t>
        </is>
      </c>
    </row>
    <row r="54">
      <c r="A54" t="n">
        <v>53</v>
      </c>
      <c r="B54" t="inlineStr">
        <is>
          <t>7. Подписчики и бот</t>
        </is>
      </c>
      <c r="C54" t="inlineStr">
        <is>
          <t>Учесть, что клиент может быть одновременно в Telegram-боте и в MAX-боте: уведомления о статусе и замене отправлять во все подключённые каналы</t>
        </is>
      </c>
      <c r="D54" t="inlineStr">
        <is>
          <t>Я</t>
        </is>
      </c>
      <c r="E54" t="inlineStr">
        <is>
          <t>Высокий</t>
        </is>
      </c>
      <c r="F54" t="inlineStr">
        <is>
          <t>Сейчас замена и статусы уходят только в Telegram. Нужно хранить у заказа список подключённых каналов и слать в каждый; ответ клиента принимать из любого</t>
        </is>
      </c>
      <c r="G54" t="inlineStr">
        <is>
          <t>Не начато</t>
        </is>
      </c>
      <c r="H54" t="inlineStr">
        <is>
          <t>Замена товара: кнопки пока только в Telegram</t>
        </is>
      </c>
    </row>
    <row r="55">
      <c r="A55" t="n">
        <v>54</v>
      </c>
      <c r="B55" t="inlineStr">
        <is>
          <t>7. Подписчики и бот</t>
        </is>
      </c>
      <c r="C55" t="inlineStr">
        <is>
          <t>Проверить в бою «Закончился» → замена: кнопки в Telegram, напоминания 9–21 Иркутск (до 3 раз), метка «клиент замёрз», список «Уведомить поставщика»</t>
        </is>
      </c>
      <c r="D55" t="inlineStr">
        <is>
          <t>Вы</t>
        </is>
      </c>
      <c r="E55" t="inlineStr">
        <is>
          <t>Высокий</t>
        </is>
      </c>
      <c r="F55" t="inlineStr">
        <is>
          <t>Тестовый заказ → позиция «Закончился» → пройти все кнопки</t>
        </is>
      </c>
      <c r="G55" t="inlineStr">
        <is>
          <t>Не начато</t>
        </is>
      </c>
      <c r="H55" t="inlineStr">
        <is>
          <t>Клиент не в боте: автозамена не отправляется, в заказе отметка «звонить вручную»</t>
        </is>
      </c>
    </row>
    <row r="56">
      <c r="A56" t="n">
        <v>55</v>
      </c>
      <c r="B56" t="inlineStr">
        <is>
          <t>7. Подписчики и бот</t>
        </is>
      </c>
      <c r="C56" t="inlineStr">
        <is>
          <t>Сделать красивый PDF с содержанием заказа: клиент скачивает его после оформления заказа; по кнопке «Отследить заказ» бот присылает PDF в чат или ссылку на страницу заказа с кнопкой «Скачать PDF»</t>
        </is>
      </c>
      <c r="D56" t="inlineStr">
        <is>
          <t>Я</t>
        </is>
      </c>
      <c r="E56" t="inlineStr">
        <is>
          <t>Средний</t>
        </is>
      </c>
      <c r="F56" t="inlineStr">
        <is>
          <t>Сначала согласовать макет PDF с владельцем (в PDF-презентации). Страница заказа по ссылке с токеном, без входа</t>
        </is>
      </c>
      <c r="G56" t="inlineStr">
        <is>
          <t>Не начато</t>
        </is>
      </c>
      <c r="H56" t="inlineStr">
        <is>
          <t>Ссылку на состав заказа также слать после утверждения замены</t>
        </is>
      </c>
    </row>
  </sheetData>
  <autoFilter ref="A1:H43"/>
  <conditionalFormatting sqref="G2:G43">
    <cfRule type="cellIs" priority="1" operator="equal" dxfId="0">
      <formula>"Готово"</formula>
    </cfRule>
    <cfRule type="cellIs" priority="2" operator="equal" dxfId="1">
      <formula>"В работе"</formula>
    </cfRule>
  </conditionalFormatting>
  <conditionalFormatting sqref="E2:E43">
    <cfRule type="cellIs" priority="3" operator="equal" dxfId="2">
      <formula>"Высокий"</formula>
    </cfRule>
  </conditionalFormatting>
  <dataValidations count="1">
    <dataValidation sqref="G2:G53" showDropDown="0" showInputMessage="0" showErrorMessage="0" allowBlank="0" type="list">
      <formula1>"Не начато,В работе,Готово,Отложено"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Блок</t>
        </is>
      </c>
      <c r="B1" s="3" t="inlineStr">
        <is>
          <t>Всего</t>
        </is>
      </c>
      <c r="C1" s="3" t="inlineStr">
        <is>
          <t>Готово</t>
        </is>
      </c>
      <c r="D1" s="3" t="inlineStr">
        <is>
          <t>Осталось</t>
        </is>
      </c>
    </row>
    <row r="2">
      <c r="A2" t="inlineStr">
        <is>
          <t>1. Безопасность (пароли и ключи)</t>
        </is>
      </c>
      <c r="B2">
        <f>COUNTIF(Чек-лист!B:B,A2)</f>
        <v/>
      </c>
      <c r="C2">
        <f>COUNTIFS(Чек-лист!B:B,A2,Чек-лист!G:G,"Готово")</f>
        <v/>
      </c>
      <c r="D2">
        <f>B2-C2</f>
        <v/>
      </c>
    </row>
    <row r="3">
      <c r="A3" t="inlineStr">
        <is>
          <t>2. Оптимизация</t>
        </is>
      </c>
      <c r="B3">
        <f>COUNTIF(Чек-лист!B:B,A3)</f>
        <v/>
      </c>
      <c r="C3">
        <f>COUNTIFS(Чек-лист!B:B,A3,Чек-лист!G:G,"Готово")</f>
        <v/>
      </c>
      <c r="D3">
        <f>B3-C3</f>
        <v/>
      </c>
    </row>
    <row r="4">
      <c r="A4" t="inlineStr">
        <is>
          <t>3. Каталог и данные</t>
        </is>
      </c>
      <c r="B4">
        <f>COUNTIF(Чек-лист!B:B,A4)</f>
        <v/>
      </c>
      <c r="C4">
        <f>COUNTIFS(Чек-лист!B:B,A4,Чек-лист!G:G,"Готово")</f>
        <v/>
      </c>
      <c r="D4">
        <f>B4-C4</f>
        <v/>
      </c>
    </row>
    <row r="5">
      <c r="A5" t="inlineStr">
        <is>
          <t>4. Приложение заказов</t>
        </is>
      </c>
      <c r="B5">
        <f>COUNTIF(Чек-лист!B:B,A5)</f>
        <v/>
      </c>
      <c r="C5">
        <f>COUNTIFS(Чек-лист!B:B,A5,Чек-лист!G:G,"Готово")</f>
        <v/>
      </c>
      <c r="D5">
        <f>B5-C5</f>
        <v/>
      </c>
    </row>
    <row r="6">
      <c r="A6" t="inlineStr">
        <is>
          <t>5. Переезд на salut38.shop</t>
        </is>
      </c>
      <c r="B6">
        <f>COUNTIF(Чек-лист!B:B,A6)</f>
        <v/>
      </c>
      <c r="C6">
        <f>COUNTIFS(Чек-лист!B:B,A6,Чек-лист!G:G,"Готово")</f>
        <v/>
      </c>
      <c r="D6">
        <f>B6-C6</f>
        <v/>
      </c>
    </row>
    <row r="7">
      <c r="A7" t="inlineStr">
        <is>
          <t>6. Юридическое</t>
        </is>
      </c>
      <c r="B7">
        <f>COUNTIF(Чек-лист!B:B,A7)</f>
        <v/>
      </c>
      <c r="C7">
        <f>COUNTIFS(Чек-лист!B:B,A7,Чек-лист!G:G,"Готово")</f>
        <v/>
      </c>
      <c r="D7">
        <f>B7-C7</f>
        <v/>
      </c>
    </row>
    <row r="8">
      <c r="A8" t="inlineStr">
        <is>
          <t>7. Подписчики и бот</t>
        </is>
      </c>
      <c r="B8">
        <f>COUNTIF(Чек-лист!B:B,A8)</f>
        <v/>
      </c>
      <c r="C8">
        <f>COUNTIFS(Чек-лист!B:B,A8,Чек-лист!G:G,"Готово")</f>
        <v/>
      </c>
      <c r="D8">
        <f>B8-C8</f>
        <v/>
      </c>
    </row>
    <row r="9">
      <c r="A9" s="4" t="inlineStr">
        <is>
          <t>Всего</t>
        </is>
      </c>
      <c r="B9" s="4">
        <f>SUM(B2:B8)</f>
        <v/>
      </c>
      <c r="C9" s="4">
        <f>SUM(C2:C8)</f>
        <v/>
      </c>
      <c r="D9" s="4">
        <f>SUM(D2:D8)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2026-10-08T19:16:49Z</dcterms:created>
  <dcterms:modified xmlns:dcterms="http://purl.org/dc/terms/" xmlns:xsi="http://www.w3.org/2001/XMLSchema-instance" xsi:type="dcterms:W3CDTF">2026-10-09T19:11:56Z</dcterms:modified>
</cp:coreProperties>
</file>